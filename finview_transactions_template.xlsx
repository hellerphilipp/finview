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pxheller/Development/finview/"/>
    </mc:Choice>
  </mc:AlternateContent>
  <xr:revisionPtr revIDLastSave="0" documentId="13_ncr:1_{1E20E486-081B-4349-877E-0AC61F1F858A}" xr6:coauthVersionLast="47" xr6:coauthVersionMax="47" xr10:uidLastSave="{00000000-0000-0000-0000-000000000000}"/>
  <bookViews>
    <workbookView xWindow="10580" yWindow="800" windowWidth="24620" windowHeight="22580" activeTab="2" xr2:uid="{00000000-000D-0000-FFFF-FFFF00000000}"/>
  </bookViews>
  <sheets>
    <sheet name="Categories" sheetId="1" state="hidden" r:id="rId1"/>
    <sheet name="Accounts" sheetId="2" state="hidden" r:id="rId2"/>
    <sheet name="Transaction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3" l="1"/>
</calcChain>
</file>

<file path=xl/sharedStrings.xml><?xml version="1.0" encoding="utf-8"?>
<sst xmlns="http://schemas.openxmlformats.org/spreadsheetml/2006/main" count="39" uniqueCount="31">
  <si>
    <t>id</t>
  </si>
  <si>
    <t>account_id</t>
  </si>
  <si>
    <t>account</t>
  </si>
  <si>
    <t>description</t>
  </si>
  <si>
    <t>original_value</t>
  </si>
  <si>
    <t>original_currency</t>
  </si>
  <si>
    <t>value_in_account_currency</t>
  </si>
  <si>
    <t>date</t>
  </si>
  <si>
    <t>category</t>
  </si>
  <si>
    <t>category_id</t>
  </si>
  <si>
    <t>reviewed</t>
  </si>
  <si>
    <t>reviewed_at</t>
  </si>
  <si>
    <t>split_parent_id</t>
  </si>
  <si>
    <t>merge_parent_id</t>
  </si>
  <si>
    <t>CHF</t>
  </si>
  <si>
    <t>travel</t>
  </si>
  <si>
    <t>groceries</t>
  </si>
  <si>
    <t>shopping</t>
  </si>
  <si>
    <t>Test</t>
  </si>
  <si>
    <t>path</t>
  </si>
  <si>
    <t>name</t>
  </si>
  <si>
    <t>currency</t>
  </si>
  <si>
    <t>mapping_spec</t>
  </si>
  <si>
    <t>Checking</t>
  </si>
  <si>
    <t>Savings</t>
  </si>
  <si>
    <t>Household</t>
  </si>
  <si>
    <t>Amex</t>
  </si>
  <si>
    <t>Swisscard/swisscard.yaml</t>
  </si>
  <si>
    <t>Swisscard</t>
  </si>
  <si>
    <t>All Transactions</t>
  </si>
  <si>
    <t>Test Transaction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</si>
</sst>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ddd* mmm\ d\,\ yyyy\ h:mm\ AM/PM"/>
  </numFmts>
  <fonts count="3" x14ac:knownFonts="1">
    <font>
      <sz val="11"/>
      <color theme="1"/>
      <name val="Calibri"/>
      <family val="2"/>
      <scheme val="minor"/>
    </font>
    <font>
      <sz val="12"/>
      <color theme="0"/>
      <name val="Aptos"/>
    </font>
    <font>
      <b/>
      <sz val="24"/>
      <color theme="0"/>
      <name val="Aptos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0" fillId="0" borderId="0" xfId="0" applyProtection="1">
      <protection locked="0"/>
    </xf>
    <xf numFmtId="0" fontId="1" fillId="2" borderId="0" xfId="0" applyFont="1" applyFill="1"/>
    <xf numFmtId="0" fontId="2" fillId="2" borderId="0" xfId="0" applyFont="1" applyFill="1"/>
    <xf numFmtId="165" fontId="0" fillId="0" borderId="0" xfId="0" applyNumberFormat="1"/>
  </cellXfs>
  <cellStyles count="1">
    <cellStyle name="Normal" xfId="0" builtinId="0"/>
  </cellStyles>
  <dxfs count="9">
    <dxf>
      <numFmt numFmtId="167" formatCode="_([$GBP]\ * #,##0.00_);_([$GBP]\ * \(#,##0.00\);_([$GBP]\ * &quot;-&quot;??_);_(@_)"/>
    </dxf>
    <dxf>
      <numFmt numFmtId="169" formatCode="_([$USD]\ * #,##0.00_);_([$USD]\ * \(#,##0.00\);_([$USD]\ * &quot;-&quot;??_);_(@_)"/>
    </dxf>
    <dxf>
      <numFmt numFmtId="168" formatCode="_([$EUR]\ * #,##0.00_);_([$EUR]\ * \(#,##0.00\);_([$EUR]\ * &quot;-&quot;??_);_(@_)"/>
    </dxf>
    <dxf>
      <numFmt numFmtId="166" formatCode="_([$CHF]\ * #,##0.00_);_([$CHF]\ * \(#,##0.00\);_([$CHF]\ * &quot;-&quot;??_);_(@_)"/>
    </dxf>
    <dxf>
      <numFmt numFmtId="166" formatCode="_([$CHF]\ * #,##0.00_);_([$CHF]\ * \(#,##0.00\);_([$CHF]\ * &quot;-&quot;??_);_(@_)"/>
    </dxf>
    <dxf>
      <numFmt numFmtId="167" formatCode="_([$GBP]\ * #,##0.00_);_([$GBP]\ * \(#,##0.00\);_([$GBP]\ * &quot;-&quot;??_);_(@_)"/>
    </dxf>
    <dxf>
      <numFmt numFmtId="168" formatCode="_([$EUR]\ * #,##0.00_);_([$EUR]\ * \(#,##0.00\);_([$EUR]\ * &quot;-&quot;??_);_(@_)"/>
    </dxf>
    <dxf>
      <numFmt numFmtId="169" formatCode="_([$USD]\ * #,##0.00_);_([$USD]\ * \(#,##0.00\);_([$USD]\ * &quot;-&quot;??_);_(@_)"/>
    </dxf>
    <dxf>
      <numFmt numFmtId="165" formatCode="ddd* mmm\ d\,\ yyyy\ h:mm\ AM/PM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tegoriesTable" displayName="CategoriesTable" ref="A1:B4">
  <autoFilter ref="A1:B4" xr:uid="{00000000-0009-0000-0100-000001000000}"/>
  <tableColumns count="2">
    <tableColumn id="1" xr3:uid="{00000000-0010-0000-0000-000001000000}" name="id"/>
    <tableColumn id="2" xr3:uid="{00000000-0010-0000-0000-000002000000}" name="path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ccountsTable" displayName="AccountsTable" ref="A1:D6">
  <autoFilter ref="A1:D6" xr:uid="{00000000-0009-0000-0100-000002000000}"/>
  <tableColumns count="4">
    <tableColumn id="1" xr3:uid="{00000000-0010-0000-0100-000001000000}" name="id"/>
    <tableColumn id="2" xr3:uid="{00000000-0010-0000-0100-000002000000}" name="name"/>
    <tableColumn id="3" xr3:uid="{00000000-0010-0000-0100-000003000000}" name="currency"/>
    <tableColumn id="4" xr3:uid="{00000000-0010-0000-0100-000004000000}" name="mapping_spec"/>
  </tableColumns>
  <tableStyleInfo name="TableStyleLight1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ransactionsTable" displayName="TransactionsTable" ref="B5:O6">
  <autoFilter ref="B5:O6" xr:uid="{00000000-0009-0000-0100-000003000000}"/>
  <tableColumns count="14">
    <tableColumn id="1" xr3:uid="{00000000-0010-0000-0200-000001000000}" name="id"/>
    <tableColumn id="2" xr3:uid="{00000000-0010-0000-0200-000002000000}" name="account_id"/>
    <tableColumn id="3" xr3:uid="{00000000-0010-0000-0200-000003000000}" name="account"/>
    <tableColumn id="4" xr3:uid="{00000000-0010-0000-0200-000004000000}" name="description"/>
    <tableColumn id="5" xr3:uid="{00000000-0010-0000-0200-000005000000}" name="original_value"/>
    <tableColumn id="6" xr3:uid="{00000000-0010-0000-0200-000006000000}" name="original_currency"/>
    <tableColumn id="7" xr3:uid="{00000000-0010-0000-0200-000007000000}" name="value_in_account_currency"/>
    <tableColumn id="8" xr3:uid="{00000000-0010-0000-0200-000008000000}" name="date" dataDxfId="8"/>
    <tableColumn id="9" xr3:uid="{00000000-0010-0000-0200-000009000000}" name="category"/>
    <tableColumn id="10" xr3:uid="{00000000-0010-0000-0200-00000A000000}" name="category_id"/>
    <tableColumn id="11" xr3:uid="{00000000-0010-0000-0200-00000B000000}" name="reviewed"/>
    <tableColumn id="12" xr3:uid="{00000000-0010-0000-0200-00000C000000}" name="reviewed_at"/>
    <tableColumn id="13" xr3:uid="{00000000-0010-0000-0200-00000D000000}" name="split_parent_id"/>
    <tableColumn id="14" xr3:uid="{00000000-0010-0000-0200-00000E000000}" name="merge_parent_id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/>
  </sheetViews>
  <sheetFormatPr baseColWidth="10" defaultColWidth="8.83203125" defaultRowHeight="15" x14ac:dyDescent="0.2"/>
  <sheetData>
    <row r="1" spans="1:2" x14ac:dyDescent="0.2">
      <c r="A1" t="s">
        <v>0</v>
      </c>
      <c r="B1" t="s">
        <v>19</v>
      </c>
    </row>
    <row r="2" spans="1:2" x14ac:dyDescent="0.2">
      <c r="A2">
        <v>2</v>
      </c>
      <c r="B2" t="s">
        <v>16</v>
      </c>
    </row>
    <row r="3" spans="1:2" x14ac:dyDescent="0.2">
      <c r="A3">
        <v>3</v>
      </c>
      <c r="B3" t="s">
        <v>17</v>
      </c>
    </row>
    <row r="4" spans="1:2" x14ac:dyDescent="0.2">
      <c r="A4">
        <v>1</v>
      </c>
      <c r="B4" t="s">
        <v>15</v>
      </c>
    </row>
  </sheetData>
  <sheetProtection sheet="1"/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>
      <selection activeCell="A2" sqref="A2"/>
    </sheetView>
  </sheetViews>
  <sheetFormatPr baseColWidth="10" defaultColWidth="8.83203125" defaultRowHeight="15" x14ac:dyDescent="0.2"/>
  <sheetData>
    <row r="1" spans="1:4" x14ac:dyDescent="0.2">
      <c r="A1" t="s">
        <v>0</v>
      </c>
      <c r="B1" t="s">
        <v>20</v>
      </c>
      <c r="C1" t="s">
        <v>21</v>
      </c>
      <c r="D1" t="s">
        <v>22</v>
      </c>
    </row>
    <row r="2" spans="1:4" x14ac:dyDescent="0.2">
      <c r="A2">
        <v>1</v>
      </c>
      <c r="B2" t="s">
        <v>23</v>
      </c>
      <c r="C2" t="s">
        <v>14</v>
      </c>
    </row>
    <row r="3" spans="1:4" x14ac:dyDescent="0.2">
      <c r="A3">
        <v>2</v>
      </c>
      <c r="B3" t="s">
        <v>24</v>
      </c>
      <c r="C3" t="s">
        <v>14</v>
      </c>
    </row>
    <row r="4" spans="1:4" x14ac:dyDescent="0.2">
      <c r="A4">
        <v>3</v>
      </c>
      <c r="B4" t="s">
        <v>25</v>
      </c>
      <c r="C4" t="s">
        <v>14</v>
      </c>
    </row>
    <row r="5" spans="1:4" x14ac:dyDescent="0.2">
      <c r="A5">
        <v>4</v>
      </c>
      <c r="B5" t="s">
        <v>26</v>
      </c>
      <c r="C5" t="s">
        <v>14</v>
      </c>
      <c r="D5" t="s">
        <v>27</v>
      </c>
    </row>
    <row r="6" spans="1:4" x14ac:dyDescent="0.2">
      <c r="A6">
        <v>5</v>
      </c>
      <c r="B6" t="s">
        <v>28</v>
      </c>
      <c r="C6" t="s">
        <v>14</v>
      </c>
      <c r="D6" t="s">
        <v>27</v>
      </c>
    </row>
  </sheetData>
  <sheetProtection sheet="1"/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O6"/>
  <sheetViews>
    <sheetView showGridLines="0" tabSelected="1" workbookViewId="0">
      <selection activeCell="A2" sqref="A2"/>
    </sheetView>
  </sheetViews>
  <sheetFormatPr baseColWidth="10" defaultColWidth="8.83203125" defaultRowHeight="15" x14ac:dyDescent="0.2"/>
  <cols>
    <col min="1" max="1" width="3.1640625" customWidth="1"/>
    <col min="3" max="3" width="13" hidden="1" customWidth="1"/>
    <col min="4" max="4" width="18.33203125" customWidth="1"/>
    <col min="5" max="5" width="36" customWidth="1"/>
    <col min="6" max="6" width="25.83203125" customWidth="1"/>
    <col min="7" max="7" width="3.83203125" hidden="1" customWidth="1"/>
    <col min="8" max="8" width="25.83203125" customWidth="1"/>
    <col min="9" max="9" width="21.5" customWidth="1"/>
    <col min="10" max="10" width="20.6640625" customWidth="1"/>
    <col min="11" max="11" width="13.33203125" hidden="1" customWidth="1"/>
    <col min="12" max="12" width="14" customWidth="1"/>
    <col min="13" max="15" width="13" hidden="1" customWidth="1"/>
  </cols>
  <sheetData>
    <row r="1" spans="2:15" s="3" customFormat="1" ht="10" customHeight="1" x14ac:dyDescent="0.2"/>
    <row r="2" spans="2:15" s="3" customFormat="1" ht="32" x14ac:dyDescent="0.4">
      <c r="B2" s="4" t="s">
        <v>29</v>
      </c>
    </row>
    <row r="3" spans="2:15" s="3" customFormat="1" ht="10" customHeight="1" x14ac:dyDescent="0.2"/>
    <row r="5" spans="2:15" x14ac:dyDescent="0.2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</row>
    <row r="6" spans="2:15" x14ac:dyDescent="0.2">
      <c r="B6">
        <v>1</v>
      </c>
      <c r="C6">
        <v>5</v>
      </c>
      <c r="D6" t="s">
        <v>18</v>
      </c>
      <c r="E6" t="s">
        <v>30</v>
      </c>
      <c r="F6">
        <v>0</v>
      </c>
      <c r="G6" t="s">
        <v>14</v>
      </c>
      <c r="H6">
        <v>0</v>
      </c>
      <c r="I6" s="5">
        <v>46040.899039351847</v>
      </c>
      <c r="J6" s="2"/>
      <c r="K6">
        <f>_xlfn.XLOOKUP(J6,Categories!B:B,Categories!A:A,"")</f>
        <v>0</v>
      </c>
      <c r="L6" s="2" t="b">
        <v>1</v>
      </c>
      <c r="M6" s="1">
        <v>46081.620228987849</v>
      </c>
      <c r="O6">
        <v>352</v>
      </c>
    </row>
  </sheetData>
  <sheetProtection sheet="1" objects="1" scenarios="1"/>
  <conditionalFormatting sqref="F6">
    <cfRule type="expression" dxfId="7" priority="5">
      <formula>G6="USD"</formula>
    </cfRule>
    <cfRule type="expression" dxfId="6" priority="6">
      <formula>G6="EUR"</formula>
    </cfRule>
    <cfRule type="expression" dxfId="5" priority="7" stopIfTrue="1">
      <formula>G6="GBP"</formula>
    </cfRule>
    <cfRule type="expression" dxfId="4" priority="8">
      <formula>G6="CHF"</formula>
    </cfRule>
  </conditionalFormatting>
  <dataValidations count="1">
    <dataValidation type="list" sqref="L6" xr:uid="{00000000-0002-0000-0200-000001000000}">
      <formula1>"TRUE,FALSE"</formula1>
    </dataValidation>
  </dataValidations>
  <pageMargins left="0.75" right="0.75" top="1" bottom="1" header="0.5" footer="0.5"/>
  <pageSetup paperSize="9" orientation="portrait" horizontalDpi="0" verticalDpi="0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" id="{99DDDF38-905A-E64F-8ED5-A9DA353C1078}">
            <xm:f>_xlfn.XLOOKUP(C6,Accounts!A2:A2000,Accounts!C2:C2000)="CHF"</xm:f>
            <x14:dxf>
              <numFmt numFmtId="166" formatCode="_([$CHF]\ * #,##0.00_);_([$CHF]\ * \(#,##0.00\);_([$CHF]\ * &quot;-&quot;??_);_(@_)"/>
            </x14:dxf>
          </x14:cfRule>
          <x14:cfRule type="expression" priority="3" id="{88D74382-B62E-6746-80F1-B80C5FFB9290}">
            <xm:f>_xlfn.XLOOKUP(C6,Accounts!A2:A2000,Accounts!C2:C2000)="GBP"</xm:f>
            <x14:dxf>
              <numFmt numFmtId="167" formatCode="_([$GBP]\ * #,##0.00_);_([$GBP]\ * \(#,##0.00\);_([$GBP]\ * &quot;-&quot;??_);_(@_)"/>
            </x14:dxf>
          </x14:cfRule>
          <x14:cfRule type="expression" priority="2" id="{ED1A46FA-080F-5048-8DA0-86D3F7F57ECE}">
            <xm:f>_xlfn.XLOOKUP(C6,Accounts!A2:A2000,Accounts!C2:C2000)="USD"</xm:f>
            <x14:dxf>
              <numFmt numFmtId="169" formatCode="_([$USD]\ * #,##0.00_);_([$USD]\ * \(#,##0.00\);_([$USD]\ * &quot;-&quot;??_);_(@_)"/>
            </x14:dxf>
          </x14:cfRule>
          <x14:cfRule type="expression" priority="1" id="{1869173A-BE23-7A43-AB4E-001888C14FC9}">
            <xm:f>_xlfn.XLOOKUP(C6,Accounts!A2:A2000,Accounts!C2:C2000)="EUR"</xm:f>
            <x14:dxf>
              <numFmt numFmtId="168" formatCode="_([$EUR]\ * #,##0.00_);_([$EUR]\ * \(#,##0.00\);_([$EUR]\ * &quot;-&quot;??_);_(@_)"/>
            </x14:dxf>
          </x14:cfRule>
          <xm:sqref>H6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Invalid Category" error="Please select a valid category" xr:uid="{00000000-0002-0000-0200-000000000000}">
          <x14:formula1>
            <xm:f>Categories!$B$2:$B$4</xm:f>
          </x14:formula1>
          <xm:sqref>J6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Categories</vt:lpstr>
      <vt:lpstr>Accounts</vt:lpstr>
      <vt:lpstr>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HELLER Philipp</cp:lastModifiedBy>
  <dcterms:created xsi:type="dcterms:W3CDTF">2026-05-17T15:27:29Z</dcterms:created>
  <dcterms:modified xsi:type="dcterms:W3CDTF">2026-05-17T19:09:07Z</dcterms:modified>
</cp:coreProperties>
</file>